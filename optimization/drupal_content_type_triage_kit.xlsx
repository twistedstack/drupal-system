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au365-my.sharepoint.com/personal/kelly_rock_ctr_dau_edu/Documents/_Spaces/_Documents/"/>
    </mc:Choice>
  </mc:AlternateContent>
  <xr:revisionPtr revIDLastSave="5" documentId="11_6335F8017B468FDE0EEAB6DD79B8CC6DAC27C12B" xr6:coauthVersionLast="47" xr6:coauthVersionMax="47" xr10:uidLastSave="{AF214FCD-67D5-4CFA-B78A-36BD909D75C3}"/>
  <bookViews>
    <workbookView xWindow="780" yWindow="780" windowWidth="21600" windowHeight="11100" firstSheet="5" activeTab="7" xr2:uid="{00000000-000D-0000-FFFF-FFFF00000000}"/>
  </bookViews>
  <sheets>
    <sheet name="README" sheetId="1" r:id="rId1"/>
    <sheet name="Inventory" sheetId="2" r:id="rId2"/>
    <sheet name="Scoring" sheetId="3" r:id="rId3"/>
    <sheet name="Weights" sheetId="4" r:id="rId4"/>
    <sheet name="Field Audit" sheetId="5" r:id="rId5"/>
    <sheet name="View Modes" sheetId="6" r:id="rId6"/>
    <sheet name="Governance" sheetId="7" r:id="rId7"/>
    <sheet name="Consolidation Map" sheetId="8" r:id="rId8"/>
    <sheet name="Risk Log" sheetId="9" r:id="rId9"/>
    <sheet name="Queries &amp; Command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3" l="1"/>
  <c r="L5" i="3" s="1"/>
  <c r="K4" i="3"/>
  <c r="L4" i="3" s="1"/>
  <c r="K3" i="3"/>
  <c r="L3" i="3" s="1"/>
  <c r="K2" i="3"/>
  <c r="L2" i="3" s="1"/>
</calcChain>
</file>

<file path=xl/sharedStrings.xml><?xml version="1.0" encoding="utf-8"?>
<sst xmlns="http://schemas.openxmlformats.org/spreadsheetml/2006/main" count="224" uniqueCount="151">
  <si>
    <t>Item</t>
  </si>
  <si>
    <t>Details</t>
  </si>
  <si>
    <t>Drupal Content Type Triage Kit</t>
  </si>
  <si>
    <t>How to use</t>
  </si>
  <si>
    <t>1) Fill Inventory. 2) Score each type on the Scoring tab. 3) Review auto Recommendations. 4) Plan consolidation/migrations on the Map tab.</t>
  </si>
  <si>
    <t>Scoring scale</t>
  </si>
  <si>
    <t>1 = poor/low, 3 = moderate, 5 = excellent/high</t>
  </si>
  <si>
    <t>Thresholds</t>
  </si>
  <si>
    <t>&gt;=4.0 Keep &amp; invest | 3.0–3.99 Keep but refactor | 2.0–2.99 Consolidate/convert | &lt;2.0 Deprecate &amp; archive</t>
  </si>
  <si>
    <t>Note</t>
  </si>
  <si>
    <t>Weights are editable in row 1 of Weights; recommendations auto-update.</t>
  </si>
  <si>
    <t>machine_name</t>
  </si>
  <si>
    <t>label</t>
  </si>
  <si>
    <t>node_count</t>
  </si>
  <si>
    <t>edits_90d</t>
  </si>
  <si>
    <t>pageviews_yr</t>
  </si>
  <si>
    <t>program_owner</t>
  </si>
  <si>
    <t>target_cmf</t>
  </si>
  <si>
    <t>workflow</t>
  </si>
  <si>
    <t>view_modes_used</t>
  </si>
  <si>
    <t>field_count</t>
  </si>
  <si>
    <t>uses_media</t>
  </si>
  <si>
    <t>has_taxonomy</t>
  </si>
  <si>
    <t>uses_author_override</t>
  </si>
  <si>
    <t>workbench_access</t>
  </si>
  <si>
    <t>last_reviewed</t>
  </si>
  <si>
    <t>article</t>
  </si>
  <si>
    <t>Article</t>
  </si>
  <si>
    <t>Editorial</t>
  </si>
  <si>
    <t>Editorial CMF</t>
  </si>
  <si>
    <t>editorial_workflow</t>
  </si>
  <si>
    <t>Yes</t>
  </si>
  <si>
    <t>No</t>
  </si>
  <si>
    <t>2024-11-01</t>
  </si>
  <si>
    <t>blog_post</t>
  </si>
  <si>
    <t>Blog Post</t>
  </si>
  <si>
    <t>Blog</t>
  </si>
  <si>
    <t>Blog CMF</t>
  </si>
  <si>
    <t>blog_workflow</t>
  </si>
  <si>
    <t>2024-10-14</t>
  </si>
  <si>
    <t>acquipedia_article</t>
  </si>
  <si>
    <t>ACQuipedia Article</t>
  </si>
  <si>
    <t>ACQuipedia</t>
  </si>
  <si>
    <t>ACQuipedia CMF</t>
  </si>
  <si>
    <t>acquipedia_workflow</t>
  </si>
  <si>
    <t>2024-11-03</t>
  </si>
  <si>
    <t>artifact</t>
  </si>
  <si>
    <t>Tool/Artifact</t>
  </si>
  <si>
    <t>Artifact</t>
  </si>
  <si>
    <t>Artifact CMF</t>
  </si>
  <si>
    <t>artifact_workflow</t>
  </si>
  <si>
    <t>Partial</t>
  </si>
  <si>
    <t>2024-09-28</t>
  </si>
  <si>
    <t>Business Value</t>
  </si>
  <si>
    <t>Usage (nodes/views)</t>
  </si>
  <si>
    <t>Findability (taxonomy/search)</t>
  </si>
  <si>
    <t>Duplication risk</t>
  </si>
  <si>
    <t>Schema quality (fields)</t>
  </si>
  <si>
    <t>Governance fit (workflow/RBAC)</t>
  </si>
  <si>
    <t>Performance impact</t>
  </si>
  <si>
    <t>Migration effort (to target CMF)</t>
  </si>
  <si>
    <t>Weighted Score</t>
  </si>
  <si>
    <t>Auto Recommendation</t>
  </si>
  <si>
    <t>Criterion</t>
  </si>
  <si>
    <t>Weight</t>
  </si>
  <si>
    <t>content_type</t>
  </si>
  <si>
    <t>field_name</t>
  </si>
  <si>
    <t>field_type</t>
  </si>
  <si>
    <t>cardinality</t>
  </si>
  <si>
    <t>in_use_ratio</t>
  </si>
  <si>
    <t>indexed</t>
  </si>
  <si>
    <t>storage_cost</t>
  </si>
  <si>
    <t>notes</t>
  </si>
  <si>
    <t>candidate_taxonomy</t>
  </si>
  <si>
    <t>field_summary</t>
  </si>
  <si>
    <t>text_long</t>
  </si>
  <si>
    <t>Low</t>
  </si>
  <si>
    <t>Candidate for view teaser only</t>
  </si>
  <si>
    <t>field_tags</t>
  </si>
  <si>
    <t>entity_reference:taxonomy_term</t>
  </si>
  <si>
    <t>Index target_id</t>
  </si>
  <si>
    <t>field_author_override</t>
  </si>
  <si>
    <t>entity_reference:user</t>
  </si>
  <si>
    <t>Ensure access checks &amp; index</t>
  </si>
  <si>
    <t>field_tool_type</t>
  </si>
  <si>
    <t>list_string</t>
  </si>
  <si>
    <t>Consider taxonomy if expanding</t>
  </si>
  <si>
    <t>view_mode</t>
  </si>
  <si>
    <t>used_where</t>
  </si>
  <si>
    <t>fields_rendered</t>
  </si>
  <si>
    <t>render_cost_est</t>
  </si>
  <si>
    <t>teaser</t>
  </si>
  <si>
    <t>Listing cards, home, taxonomy pages</t>
  </si>
  <si>
    <t>full</t>
  </si>
  <si>
    <t>Node page</t>
  </si>
  <si>
    <t>Medium</t>
  </si>
  <si>
    <t>Directory listings</t>
  </si>
  <si>
    <t>compact</t>
  </si>
  <si>
    <t>Tools dashboard</t>
  </si>
  <si>
    <t>states_transitions</t>
  </si>
  <si>
    <t>roles</t>
  </si>
  <si>
    <t>draft → routed_to_director → published → archived</t>
  </si>
  <si>
    <t>Content Editor, Content Owner, Senior Content Editor</t>
  </si>
  <si>
    <t>Own vs Scoped Any vs Full Any mapping</t>
  </si>
  <si>
    <t>draft → routed_to_author ↔ routed_to_director → published → archived</t>
  </si>
  <si>
    <t>Blog Author, Blog Director, Blog Manager</t>
  </si>
  <si>
    <t>Author override allowed; published editable</t>
  </si>
  <si>
    <t>draft → review → published → archived</t>
  </si>
  <si>
    <t>LAM, Center Director, Senior Content Editor</t>
  </si>
  <si>
    <t>Locked FA/KA taxonomies</t>
  </si>
  <si>
    <t>source_type</t>
  </si>
  <si>
    <t>target_type</t>
  </si>
  <si>
    <t>action</t>
  </si>
  <si>
    <t>migration_notes</t>
  </si>
  <si>
    <t>current_url_pattern</t>
  </si>
  <si>
    <t>redirect_plan</t>
  </si>
  <si>
    <t>risk</t>
  </si>
  <si>
    <t>news</t>
  </si>
  <si>
    <t>Merge: use 'article' with News taxonomy</t>
  </si>
  <si>
    <t>Migrate D7/8 legacy nodes; preserve path aliases</t>
  </si>
  <si>
    <t>/news/[node:title]</t>
  </si>
  <si>
    <t>301 to /articles/[node:title]</t>
  </si>
  <si>
    <t>press_release</t>
  </si>
  <si>
    <t>Convert to 'article' + 'Press' term</t>
  </si>
  <si>
    <t>Map fields: summary, body, date</t>
  </si>
  <si>
    <t>/press/[node:title]</t>
  </si>
  <si>
    <t>event_article</t>
  </si>
  <si>
    <t>event</t>
  </si>
  <si>
    <t>Split: true events to 'event', other to 'article'</t>
  </si>
  <si>
    <t>Date normalization, iCal rebuild</t>
  </si>
  <si>
    <t>/events/[date]/[title]</t>
  </si>
  <si>
    <t>Mixed</t>
  </si>
  <si>
    <t>impact</t>
  </si>
  <si>
    <t>mitigation</t>
  </si>
  <si>
    <t>Search regressions after consolidation</t>
  </si>
  <si>
    <t>High</t>
  </si>
  <si>
    <t>Validate Search API indexes &amp; facets; crawl tests</t>
  </si>
  <si>
    <t>Orphaned fields/tables after deletions</t>
  </si>
  <si>
    <t>Use field UI to delete, run cron, confirm storage tables removed</t>
  </si>
  <si>
    <t>Loss of historical URLs</t>
  </si>
  <si>
    <t>Create redirect map; test 10% sample</t>
  </si>
  <si>
    <t>Task</t>
  </si>
  <si>
    <t>Command</t>
  </si>
  <si>
    <t>Count nodes by type</t>
  </si>
  <si>
    <t>drush sqlq "SELECT type, COUNT(*) c FROM node_field_data GROUP BY type ORDER BY c DESC;"</t>
  </si>
  <si>
    <t>Views used per display</t>
  </si>
  <si>
    <t>drush ev "foreach(\Drupal\views\Views::getAllViews() as $v){print $v-&gt;id()."\n";}"</t>
  </si>
  <si>
    <t>Top edited last 90d</t>
  </si>
  <si>
    <t>drush sqlq "SELECT type, COUNT(*) FROM node_field_data WHERE changed &gt; UNIX_TIMESTAMP(DATE_SUB(NOW(), INTERVAL 90 DAY)) GROUP BY type;"</t>
  </si>
  <si>
    <t>Field storage sizes (approx)</t>
  </si>
  <si>
    <t>drush sqlq "SHOW TABLE STATUS LIKE 'node\_%';"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</si>
</sst>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"/>
  <sheetViews>
    <sheetView workbookViewId="0"/>
  </sheetViews>
  <sheetFormatPr defaultRowHeight="15" x14ac:dyDescent="0.25"/>
  <sheetData>
    <row r="1" spans="1:15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</row>
    <row r="2" spans="1:15" x14ac:dyDescent="0.25">
      <c r="A2" t="s">
        <v>26</v>
      </c>
      <c r="B2" t="s">
        <v>27</v>
      </c>
      <c r="C2">
        <v>1280</v>
      </c>
      <c r="D2">
        <v>210</v>
      </c>
      <c r="E2">
        <v>54000</v>
      </c>
      <c r="F2" t="s">
        <v>28</v>
      </c>
      <c r="G2" t="s">
        <v>29</v>
      </c>
      <c r="H2" t="s">
        <v>30</v>
      </c>
      <c r="I2">
        <v>3</v>
      </c>
      <c r="J2">
        <v>24</v>
      </c>
      <c r="K2" t="s">
        <v>31</v>
      </c>
      <c r="L2" t="s">
        <v>32</v>
      </c>
      <c r="M2" t="s">
        <v>31</v>
      </c>
      <c r="N2" t="s">
        <v>31</v>
      </c>
      <c r="O2" t="s">
        <v>33</v>
      </c>
    </row>
    <row r="3" spans="1:15" x14ac:dyDescent="0.25">
      <c r="A3" t="s">
        <v>34</v>
      </c>
      <c r="B3" t="s">
        <v>35</v>
      </c>
      <c r="C3">
        <v>620</v>
      </c>
      <c r="D3">
        <v>180</v>
      </c>
      <c r="E3">
        <v>32000</v>
      </c>
      <c r="F3" t="s">
        <v>36</v>
      </c>
      <c r="G3" t="s">
        <v>37</v>
      </c>
      <c r="H3" t="s">
        <v>38</v>
      </c>
      <c r="I3">
        <v>3</v>
      </c>
      <c r="J3">
        <v>18</v>
      </c>
      <c r="K3" t="s">
        <v>31</v>
      </c>
      <c r="L3" t="s">
        <v>31</v>
      </c>
      <c r="M3" t="s">
        <v>31</v>
      </c>
      <c r="N3" t="s">
        <v>32</v>
      </c>
      <c r="O3" t="s">
        <v>39</v>
      </c>
    </row>
    <row r="4" spans="1:15" x14ac:dyDescent="0.25">
      <c r="A4" t="s">
        <v>40</v>
      </c>
      <c r="B4" t="s">
        <v>41</v>
      </c>
      <c r="C4">
        <v>4100</v>
      </c>
      <c r="D4">
        <v>95</v>
      </c>
      <c r="E4">
        <v>120000</v>
      </c>
      <c r="F4" t="s">
        <v>42</v>
      </c>
      <c r="G4" t="s">
        <v>43</v>
      </c>
      <c r="H4" t="s">
        <v>44</v>
      </c>
      <c r="I4">
        <v>4</v>
      </c>
      <c r="J4">
        <v>30</v>
      </c>
      <c r="K4" t="s">
        <v>31</v>
      </c>
      <c r="L4" t="s">
        <v>32</v>
      </c>
      <c r="M4" t="s">
        <v>31</v>
      </c>
      <c r="N4" t="s">
        <v>31</v>
      </c>
      <c r="O4" t="s">
        <v>45</v>
      </c>
    </row>
    <row r="5" spans="1:15" x14ac:dyDescent="0.25">
      <c r="A5" t="s">
        <v>46</v>
      </c>
      <c r="B5" t="s">
        <v>47</v>
      </c>
      <c r="C5">
        <v>380</v>
      </c>
      <c r="D5">
        <v>35</v>
      </c>
      <c r="E5">
        <v>42000</v>
      </c>
      <c r="F5" t="s">
        <v>48</v>
      </c>
      <c r="G5" t="s">
        <v>49</v>
      </c>
      <c r="H5" t="s">
        <v>50</v>
      </c>
      <c r="I5">
        <v>4</v>
      </c>
      <c r="J5">
        <v>22</v>
      </c>
      <c r="K5" t="s">
        <v>51</v>
      </c>
      <c r="L5" t="s">
        <v>31</v>
      </c>
      <c r="M5" t="s">
        <v>31</v>
      </c>
      <c r="N5" t="s">
        <v>31</v>
      </c>
      <c r="O5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"/>
  <sheetViews>
    <sheetView workbookViewId="0"/>
  </sheetViews>
  <sheetFormatPr defaultRowHeight="15" x14ac:dyDescent="0.25"/>
  <sheetData>
    <row r="1" spans="1:12" x14ac:dyDescent="0.25">
      <c r="A1" s="1" t="s">
        <v>11</v>
      </c>
      <c r="B1" s="1" t="s">
        <v>12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</row>
    <row r="2" spans="1:12" x14ac:dyDescent="0.25">
      <c r="A2" t="s">
        <v>26</v>
      </c>
      <c r="B2" t="s">
        <v>27</v>
      </c>
      <c r="K2" t="str">
        <f>IFERROR(SUMPRODUCT(Scoring!C2:J2, Weights!$B$1:$B$8)/SUM(Weights!$B$1:$B$8),"")</f>
        <v/>
      </c>
      <c r="L2" t="str">
        <f>IF(K2="","",IF(K2&gt;=4,"Keep &amp; invest",IF(K2&gt;=3,"Keep but refactor",IF(K2&gt;=2,"Consolidate/convert","Deprecate &amp; archive"))))</f>
        <v/>
      </c>
    </row>
    <row r="3" spans="1:12" x14ac:dyDescent="0.25">
      <c r="A3" t="s">
        <v>34</v>
      </c>
      <c r="B3" t="s">
        <v>35</v>
      </c>
      <c r="K3" t="str">
        <f>IFERROR(SUMPRODUCT(Scoring!C3:J3, Weights!$B$1:$B$8)/SUM(Weights!$B$1:$B$8),"")</f>
        <v/>
      </c>
      <c r="L3" t="str">
        <f>IF(K3="","",IF(K3&gt;=4,"Keep &amp; invest",IF(K3&gt;=3,"Keep but refactor",IF(K3&gt;=2,"Consolidate/convert","Deprecate &amp; archive"))))</f>
        <v/>
      </c>
    </row>
    <row r="4" spans="1:12" x14ac:dyDescent="0.25">
      <c r="A4" t="s">
        <v>40</v>
      </c>
      <c r="B4" t="s">
        <v>41</v>
      </c>
      <c r="K4" t="str">
        <f>IFERROR(SUMPRODUCT(Scoring!C4:J4, Weights!$B$1:$B$8)/SUM(Weights!$B$1:$B$8),"")</f>
        <v/>
      </c>
      <c r="L4" t="str">
        <f>IF(K4="","",IF(K4&gt;=4,"Keep &amp; invest",IF(K4&gt;=3,"Keep but refactor",IF(K4&gt;=2,"Consolidate/convert","Deprecate &amp; archive"))))</f>
        <v/>
      </c>
    </row>
    <row r="5" spans="1:12" x14ac:dyDescent="0.25">
      <c r="A5" t="s">
        <v>46</v>
      </c>
      <c r="B5" t="s">
        <v>47</v>
      </c>
      <c r="K5" t="str">
        <f>IFERROR(SUMPRODUCT(Scoring!C5:J5, Weights!$B$1:$B$8)/SUM(Weights!$B$1:$B$8),"")</f>
        <v/>
      </c>
      <c r="L5" t="str">
        <f>IF(K5="","",IF(K5&gt;=4,"Keep &amp; invest",IF(K5&gt;=3,"Keep but refactor",IF(K5&gt;=2,"Consolidate/convert","Deprecate &amp; archive"))))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63</v>
      </c>
      <c r="B1" s="1" t="s">
        <v>64</v>
      </c>
    </row>
    <row r="2" spans="1:2" x14ac:dyDescent="0.25">
      <c r="A2" t="s">
        <v>53</v>
      </c>
      <c r="B2">
        <v>3</v>
      </c>
    </row>
    <row r="3" spans="1:2" x14ac:dyDescent="0.25">
      <c r="A3" t="s">
        <v>54</v>
      </c>
      <c r="B3">
        <v>3</v>
      </c>
    </row>
    <row r="4" spans="1:2" x14ac:dyDescent="0.25">
      <c r="A4" t="s">
        <v>55</v>
      </c>
      <c r="B4">
        <v>2</v>
      </c>
    </row>
    <row r="5" spans="1:2" x14ac:dyDescent="0.25">
      <c r="A5" t="s">
        <v>56</v>
      </c>
      <c r="B5">
        <v>2</v>
      </c>
    </row>
    <row r="6" spans="1:2" x14ac:dyDescent="0.25">
      <c r="A6" t="s">
        <v>57</v>
      </c>
      <c r="B6">
        <v>2</v>
      </c>
    </row>
    <row r="7" spans="1:2" x14ac:dyDescent="0.25">
      <c r="A7" t="s">
        <v>58</v>
      </c>
      <c r="B7">
        <v>2</v>
      </c>
    </row>
    <row r="8" spans="1:2" x14ac:dyDescent="0.25">
      <c r="A8" t="s">
        <v>59</v>
      </c>
      <c r="B8">
        <v>1</v>
      </c>
    </row>
    <row r="9" spans="1:2" x14ac:dyDescent="0.25">
      <c r="A9" t="s">
        <v>60</v>
      </c>
      <c r="B9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/>
  </sheetViews>
  <sheetFormatPr defaultRowHeight="15" x14ac:dyDescent="0.25"/>
  <sheetData>
    <row r="1" spans="1:9" x14ac:dyDescent="0.25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</row>
    <row r="2" spans="1:9" x14ac:dyDescent="0.25">
      <c r="A2" t="s">
        <v>26</v>
      </c>
      <c r="B2" t="s">
        <v>74</v>
      </c>
      <c r="C2" t="s">
        <v>75</v>
      </c>
      <c r="D2">
        <v>1</v>
      </c>
      <c r="E2">
        <v>0.98</v>
      </c>
      <c r="F2" t="s">
        <v>32</v>
      </c>
      <c r="G2" t="s">
        <v>76</v>
      </c>
      <c r="H2" t="s">
        <v>77</v>
      </c>
      <c r="I2" t="s">
        <v>32</v>
      </c>
    </row>
    <row r="3" spans="1:9" x14ac:dyDescent="0.25">
      <c r="A3" t="s">
        <v>26</v>
      </c>
      <c r="B3" t="s">
        <v>78</v>
      </c>
      <c r="C3" t="s">
        <v>79</v>
      </c>
      <c r="D3">
        <v>-1</v>
      </c>
      <c r="E3">
        <v>0.92</v>
      </c>
      <c r="F3" t="s">
        <v>31</v>
      </c>
      <c r="G3" t="s">
        <v>76</v>
      </c>
      <c r="H3" t="s">
        <v>80</v>
      </c>
      <c r="I3" t="s">
        <v>31</v>
      </c>
    </row>
    <row r="4" spans="1:9" x14ac:dyDescent="0.25">
      <c r="A4" t="s">
        <v>34</v>
      </c>
      <c r="B4" t="s">
        <v>81</v>
      </c>
      <c r="C4" t="s">
        <v>82</v>
      </c>
      <c r="D4">
        <v>1</v>
      </c>
      <c r="E4">
        <v>0.67</v>
      </c>
      <c r="F4" t="s">
        <v>31</v>
      </c>
      <c r="G4" t="s">
        <v>76</v>
      </c>
      <c r="H4" t="s">
        <v>83</v>
      </c>
      <c r="I4" t="s">
        <v>32</v>
      </c>
    </row>
    <row r="5" spans="1:9" x14ac:dyDescent="0.25">
      <c r="A5" t="s">
        <v>46</v>
      </c>
      <c r="B5" t="s">
        <v>84</v>
      </c>
      <c r="C5" t="s">
        <v>85</v>
      </c>
      <c r="D5">
        <v>1</v>
      </c>
      <c r="E5">
        <v>0.85</v>
      </c>
      <c r="F5" t="s">
        <v>31</v>
      </c>
      <c r="G5" t="s">
        <v>76</v>
      </c>
      <c r="H5" t="s">
        <v>86</v>
      </c>
      <c r="I5" t="s">
        <v>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/>
  </sheetViews>
  <sheetFormatPr defaultRowHeight="15" x14ac:dyDescent="0.25"/>
  <sheetData>
    <row r="1" spans="1:5" x14ac:dyDescent="0.25">
      <c r="A1" s="1" t="s">
        <v>65</v>
      </c>
      <c r="B1" s="1" t="s">
        <v>87</v>
      </c>
      <c r="C1" s="1" t="s">
        <v>88</v>
      </c>
      <c r="D1" s="1" t="s">
        <v>89</v>
      </c>
      <c r="E1" s="1" t="s">
        <v>90</v>
      </c>
    </row>
    <row r="2" spans="1:5" x14ac:dyDescent="0.25">
      <c r="A2" t="s">
        <v>26</v>
      </c>
      <c r="B2" t="s">
        <v>91</v>
      </c>
      <c r="C2" t="s">
        <v>92</v>
      </c>
      <c r="D2">
        <v>8</v>
      </c>
      <c r="E2" t="s">
        <v>76</v>
      </c>
    </row>
    <row r="3" spans="1:5" x14ac:dyDescent="0.25">
      <c r="A3" t="s">
        <v>26</v>
      </c>
      <c r="B3" t="s">
        <v>93</v>
      </c>
      <c r="C3" t="s">
        <v>94</v>
      </c>
      <c r="D3">
        <v>16</v>
      </c>
      <c r="E3" t="s">
        <v>95</v>
      </c>
    </row>
    <row r="4" spans="1:5" x14ac:dyDescent="0.25">
      <c r="A4" t="s">
        <v>40</v>
      </c>
      <c r="B4" t="s">
        <v>91</v>
      </c>
      <c r="C4" t="s">
        <v>96</v>
      </c>
      <c r="D4">
        <v>10</v>
      </c>
      <c r="E4" t="s">
        <v>76</v>
      </c>
    </row>
    <row r="5" spans="1:5" x14ac:dyDescent="0.25">
      <c r="A5" t="s">
        <v>46</v>
      </c>
      <c r="B5" t="s">
        <v>97</v>
      </c>
      <c r="C5" t="s">
        <v>98</v>
      </c>
      <c r="D5">
        <v>6</v>
      </c>
      <c r="E5" t="s">
        <v>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65</v>
      </c>
      <c r="B1" s="1" t="s">
        <v>18</v>
      </c>
      <c r="C1" s="1" t="s">
        <v>99</v>
      </c>
      <c r="D1" s="1" t="s">
        <v>100</v>
      </c>
      <c r="E1" s="1" t="s">
        <v>72</v>
      </c>
    </row>
    <row r="2" spans="1:5" x14ac:dyDescent="0.25">
      <c r="A2" t="s">
        <v>26</v>
      </c>
      <c r="B2" t="s">
        <v>30</v>
      </c>
      <c r="C2" t="s">
        <v>101</v>
      </c>
      <c r="D2" t="s">
        <v>102</v>
      </c>
      <c r="E2" t="s">
        <v>103</v>
      </c>
    </row>
    <row r="3" spans="1:5" x14ac:dyDescent="0.25">
      <c r="A3" t="s">
        <v>34</v>
      </c>
      <c r="B3" t="s">
        <v>38</v>
      </c>
      <c r="C3" t="s">
        <v>104</v>
      </c>
      <c r="D3" t="s">
        <v>105</v>
      </c>
      <c r="E3" t="s">
        <v>106</v>
      </c>
    </row>
    <row r="4" spans="1:5" x14ac:dyDescent="0.25">
      <c r="A4" t="s">
        <v>40</v>
      </c>
      <c r="B4" t="s">
        <v>44</v>
      </c>
      <c r="C4" t="s">
        <v>107</v>
      </c>
      <c r="D4" t="s">
        <v>108</v>
      </c>
      <c r="E4" t="s">
        <v>109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"/>
  <sheetViews>
    <sheetView tabSelected="1" workbookViewId="0"/>
  </sheetViews>
  <sheetFormatPr defaultRowHeight="15" x14ac:dyDescent="0.25"/>
  <sheetData>
    <row r="1" spans="1:7" x14ac:dyDescent="0.25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</row>
    <row r="2" spans="1:7" x14ac:dyDescent="0.25">
      <c r="A2" t="s">
        <v>117</v>
      </c>
      <c r="B2" t="s">
        <v>26</v>
      </c>
      <c r="C2" t="s">
        <v>118</v>
      </c>
      <c r="D2" t="s">
        <v>119</v>
      </c>
      <c r="E2" t="s">
        <v>120</v>
      </c>
      <c r="F2" t="s">
        <v>121</v>
      </c>
      <c r="G2" t="s">
        <v>76</v>
      </c>
    </row>
    <row r="3" spans="1:7" x14ac:dyDescent="0.25">
      <c r="A3" t="s">
        <v>122</v>
      </c>
      <c r="B3" t="s">
        <v>26</v>
      </c>
      <c r="C3" t="s">
        <v>123</v>
      </c>
      <c r="D3" t="s">
        <v>124</v>
      </c>
      <c r="E3" t="s">
        <v>125</v>
      </c>
      <c r="F3" t="s">
        <v>121</v>
      </c>
      <c r="G3" t="s">
        <v>76</v>
      </c>
    </row>
    <row r="4" spans="1:7" x14ac:dyDescent="0.25">
      <c r="A4" t="s">
        <v>126</v>
      </c>
      <c r="B4" t="s">
        <v>127</v>
      </c>
      <c r="C4" t="s">
        <v>128</v>
      </c>
      <c r="D4" t="s">
        <v>129</v>
      </c>
      <c r="E4" t="s">
        <v>130</v>
      </c>
      <c r="F4" t="s">
        <v>131</v>
      </c>
      <c r="G4" t="s">
        <v>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"/>
  <sheetViews>
    <sheetView workbookViewId="0"/>
  </sheetViews>
  <sheetFormatPr defaultRowHeight="15" x14ac:dyDescent="0.25"/>
  <cols>
    <col min="1" max="1" width="36.42578125" customWidth="1"/>
  </cols>
  <sheetData>
    <row r="1" spans="1:3" x14ac:dyDescent="0.25">
      <c r="A1" s="1" t="s">
        <v>116</v>
      </c>
      <c r="B1" s="1" t="s">
        <v>132</v>
      </c>
      <c r="C1" s="1" t="s">
        <v>133</v>
      </c>
    </row>
    <row r="2" spans="1:3" x14ac:dyDescent="0.25">
      <c r="A2" t="s">
        <v>134</v>
      </c>
      <c r="B2" t="s">
        <v>135</v>
      </c>
      <c r="C2" t="s">
        <v>136</v>
      </c>
    </row>
    <row r="3" spans="1:3" x14ac:dyDescent="0.25">
      <c r="A3" t="s">
        <v>137</v>
      </c>
      <c r="B3" t="s">
        <v>95</v>
      </c>
      <c r="C3" t="s">
        <v>138</v>
      </c>
    </row>
    <row r="4" spans="1:3" x14ac:dyDescent="0.25">
      <c r="A4" t="s">
        <v>139</v>
      </c>
      <c r="B4" t="s">
        <v>135</v>
      </c>
      <c r="C4" t="s">
        <v>140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>
      <selection activeCell="E4" sqref="E4"/>
    </sheetView>
  </sheetViews>
  <sheetFormatPr defaultRowHeight="15" x14ac:dyDescent="0.25"/>
  <cols>
    <col min="1" max="1" width="33" customWidth="1"/>
    <col min="2" max="2" width="38.42578125" style="3" customWidth="1"/>
  </cols>
  <sheetData>
    <row r="1" spans="1:2" x14ac:dyDescent="0.25">
      <c r="A1" s="1" t="s">
        <v>141</v>
      </c>
      <c r="B1" s="2" t="s">
        <v>142</v>
      </c>
    </row>
    <row r="2" spans="1:2" ht="45" x14ac:dyDescent="0.25">
      <c r="A2" t="s">
        <v>143</v>
      </c>
      <c r="B2" s="3" t="s">
        <v>144</v>
      </c>
    </row>
    <row r="3" spans="1:2" ht="45" x14ac:dyDescent="0.25">
      <c r="A3" t="s">
        <v>145</v>
      </c>
      <c r="B3" s="3" t="s">
        <v>146</v>
      </c>
    </row>
    <row r="4" spans="1:2" ht="60" x14ac:dyDescent="0.25">
      <c r="A4" t="s">
        <v>147</v>
      </c>
      <c r="B4" s="3" t="s">
        <v>148</v>
      </c>
    </row>
    <row r="5" spans="1:2" ht="30" x14ac:dyDescent="0.25">
      <c r="A5" t="s">
        <v>149</v>
      </c>
      <c r="B5" s="3" t="s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Inventory</vt:lpstr>
      <vt:lpstr>Scoring</vt:lpstr>
      <vt:lpstr>Weights</vt:lpstr>
      <vt:lpstr>Field Audit</vt:lpstr>
      <vt:lpstr>View Modes</vt:lpstr>
      <vt:lpstr>Governance</vt:lpstr>
      <vt:lpstr>Consolidation Map</vt:lpstr>
      <vt:lpstr>Risk Log</vt:lpstr>
      <vt:lpstr>Queries &amp; Commands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Rock, Kelly - CTR</cp:lastModifiedBy>
  <dcterms:created xsi:type="dcterms:W3CDTF">2025-11-06T00:56:59Z</dcterms:created>
  <dcterms:modified xsi:type="dcterms:W3CDTF">2026-02-25T15:53:59Z</dcterms:modified>
</cp:coreProperties>
</file>